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13_ncr:1_{71985D1A-59B7-4C5D-9316-A4A553215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 Readiness" sheetId="1" r:id="rId1"/>
    <sheet name="Summary" sheetId="2" r:id="rId2"/>
  </sheets>
  <definedNames>
    <definedName name="_xlnm.Print_Titles" localSheetId="0">'Prod Readiness'!$1:$2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<sst xmlns="http://schemas.openxmlformats.org/spreadsheetml/2006/main" count="76" uniqueCount="61">
  <si>
    <t>PRODUCTION READINESS CHECKLIST</t>
  </si>
  <si>
    <t>#</t>
  </si>
  <si>
    <t>Validation item</t>
  </si>
  <si>
    <t>Expected result</t>
  </si>
  <si>
    <t>Status</t>
  </si>
  <si>
    <t>Notes / evidence</t>
  </si>
  <si>
    <t>EC2 instance</t>
  </si>
  <si>
    <t>Instance is running and in the intended region/type.</t>
  </si>
  <si>
    <t>Passed</t>
  </si>
  <si>
    <t>Assumed passed for the demo; confirm in EC2 console.</t>
  </si>
  <si>
    <t>Nginx service</t>
  </si>
  <si>
    <t>Nginx service is active and enabled where required.</t>
  </si>
  <si>
    <t>Assumed active for the demo; confirm with systemctl status nginx.</t>
  </si>
  <si>
    <t>SSH access</t>
  </si>
  <si>
    <t>SSH is active and restricted to approved IPs/users.</t>
  </si>
  <si>
    <t>Assumed restricted; confirm security-group source ranges and SSH settings.</t>
  </si>
  <si>
    <t>CPU &amp; memory</t>
  </si>
  <si>
    <t>CPU and memory usage are within acceptable limits.</t>
  </si>
  <si>
    <t>Assumed normal for the demo; confirm CloudWatch/OS metrics.</t>
  </si>
  <si>
    <t>Browser validation</t>
  </si>
  <si>
    <t>Website loads successfully over the intended protocol.</t>
  </si>
  <si>
    <t>Assumed site loads; confirm by opening the deployed URL.</t>
  </si>
  <si>
    <t>Application logs</t>
  </si>
  <si>
    <t>No unresolved critical errors appear in application or service logs.</t>
  </si>
  <si>
    <t>Assumed clean for the demo; inspect app and Nginx logs.</t>
  </si>
  <si>
    <t>HTTPS / TLS</t>
  </si>
  <si>
    <t>HTTPS uses a valid certificate, and HTTP redirects to HTTPS when required.</t>
  </si>
  <si>
    <t>Not verified</t>
  </si>
  <si>
    <t>Verify the certificate and test both HTTP and HTTPS URLs.</t>
  </si>
  <si>
    <t>Web root permissions</t>
  </si>
  <si>
    <t>Nginx can read website files, and files/directories are not unnecessarily writable.</t>
  </si>
  <si>
    <t>Check ownership and permissions of the configured Nginx document root.</t>
  </si>
  <si>
    <t>Security group &amp; firewall</t>
  </si>
  <si>
    <t>Only required ports are reachable; SSH is limited to approved source IPs.</t>
  </si>
  <si>
    <t>Review EC2 security-group rules and the OS firewall.</t>
  </si>
  <si>
    <t>Reboot persistence</t>
  </si>
  <si>
    <t>Nginx starts automatically after an instance reboot and the website remains available.</t>
  </si>
  <si>
    <t>Confirm Nginx is enabled and perform a controlled reboot test.</t>
  </si>
  <si>
    <t>Monitoring &amp; logs</t>
  </si>
  <si>
    <t>Nginx access/error logs are available and service/instance health can be monitored.</t>
  </si>
  <si>
    <t>Inspect Nginx logs and confirm suitable CloudWatch or OS-level monitoring.</t>
  </si>
  <si>
    <t>IAM permissions</t>
  </si>
  <si>
    <t>Instance role and user permissions follow least privilege.</t>
  </si>
  <si>
    <t>Assumed least privilege for the demo; review attached policies.</t>
  </si>
  <si>
    <t>Health checks</t>
  </si>
  <si>
    <t>Application/service health checks are configured and passing.</t>
  </si>
  <si>
    <t>Assumed healthy for the demo; confirm health-check results.</t>
  </si>
  <si>
    <t>Patch management</t>
  </si>
  <si>
    <t>OS packages and application dependencies are patched to supported versions.</t>
  </si>
  <si>
    <t>Failed</t>
  </si>
  <si>
    <t>Treat as failed until pending security updates and dependency advisories are checked.</t>
  </si>
  <si>
    <t>Recovery test</t>
  </si>
  <si>
    <t>A documented restore/recovery procedure has been tested successfully.</t>
  </si>
  <si>
    <t>Treat as failed until a restore/recovery test is demonstrated.</t>
  </si>
  <si>
    <t>READINESS SUMMARY — CURRENT CHECK STATUS</t>
  </si>
  <si>
    <t>Total checks</t>
  </si>
  <si>
    <t>Blocked</t>
  </si>
  <si>
    <t>N/A</t>
  </si>
  <si>
    <t>Important</t>
  </si>
  <si>
    <t>These are illustrative demo statuses, not results from live infrastructure checks. Validate each item before treating the environment as production-ready.</t>
  </si>
  <si>
    <t>Statuses are illustrative until verified in your environment. Validate all items before treating the website as production-ready.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</si>
</sst>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5">
    <dxf>
      <font>
        <color rgb="FF274E13"/>
      </font>
      <fill>
        <patternFill patternType="solid">
          <fgColor rgb="FFD9EAD3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Readiness" displayName="ProductionReadiness" ref="A2:E17">
  <autoFilter ref="A2:E17" xr:uid="{00000000-0009-0000-0100-000001000000}"/>
  <tableColumns count="5">
    <tableColumn id="1" xr3:uid="{00000000-0010-0000-0000-000001000000}" name="#"/>
    <tableColumn id="2" xr3:uid="{00000000-0010-0000-0000-000002000000}" name="Validation item"/>
    <tableColumn id="3" xr3:uid="{00000000-0010-0000-0000-000003000000}" name="Expected result"/>
    <tableColumn id="4" xr3:uid="{00000000-0010-0000-0000-000004000000}" name="Status"/>
    <tableColumn id="5" xr3:uid="{00000000-0010-0000-0000-000005000000}" name="Notes / evide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showGridLines="0" tabSelected="1" workbookViewId="0">
      <pane ySplit="2" topLeftCell="A3" activePane="bottomLeft" state="frozen"/>
      <selection pane="bottomLeft" activeCell="H4" sqref="H4"/>
    </sheetView>
  </sheetViews>
  <sheetFormatPr defaultRowHeight="14.4" x14ac:dyDescent="0.3"/>
  <cols>
    <col min="1" max="1" width="6" customWidth="1"/>
    <col min="2" max="2" width="25" customWidth="1"/>
    <col min="3" max="3" width="58" customWidth="1"/>
    <col min="4" max="4" width="16" customWidth="1"/>
    <col min="5" max="5" width="58" customWidth="1"/>
  </cols>
  <sheetData>
    <row r="1" spans="1:5" ht="34.049999999999997" customHeight="1" x14ac:dyDescent="0.3">
      <c r="A1" s="10" t="s">
        <v>0</v>
      </c>
      <c r="B1" s="9"/>
      <c r="C1" s="9"/>
      <c r="D1" s="9"/>
      <c r="E1" s="9"/>
    </row>
    <row r="2" spans="1: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48" customHeight="1" x14ac:dyDescent="0.3">
      <c r="A3" s="2">
        <v>1</v>
      </c>
      <c r="B3" s="1" t="s">
        <v>6</v>
      </c>
      <c r="C3" s="1" t="s">
        <v>7</v>
      </c>
      <c r="D3" s="2" t="s">
        <v>8</v>
      </c>
      <c r="E3" s="1" t="s">
        <v>9</v>
      </c>
    </row>
    <row r="4" spans="1:5" ht="48" customHeight="1" x14ac:dyDescent="0.3">
      <c r="A4" s="4">
        <v>2</v>
      </c>
      <c r="B4" s="3" t="s">
        <v>10</v>
      </c>
      <c r="C4" s="3" t="s">
        <v>11</v>
      </c>
      <c r="D4" s="4" t="s">
        <v>8</v>
      </c>
      <c r="E4" s="3" t="s">
        <v>12</v>
      </c>
    </row>
    <row r="5" spans="1:5" ht="48" customHeight="1" x14ac:dyDescent="0.3">
      <c r="A5" s="2">
        <v>3</v>
      </c>
      <c r="B5" s="1" t="s">
        <v>13</v>
      </c>
      <c r="C5" s="1" t="s">
        <v>14</v>
      </c>
      <c r="D5" s="2" t="s">
        <v>8</v>
      </c>
      <c r="E5" s="1" t="s">
        <v>15</v>
      </c>
    </row>
    <row r="6" spans="1:5" ht="48" customHeight="1" x14ac:dyDescent="0.3">
      <c r="A6" s="4">
        <v>4</v>
      </c>
      <c r="B6" s="3" t="s">
        <v>16</v>
      </c>
      <c r="C6" s="3" t="s">
        <v>17</v>
      </c>
      <c r="D6" s="4" t="s">
        <v>8</v>
      </c>
      <c r="E6" s="3" t="s">
        <v>18</v>
      </c>
    </row>
    <row r="7" spans="1:5" ht="48" customHeight="1" x14ac:dyDescent="0.3">
      <c r="A7" s="2">
        <v>5</v>
      </c>
      <c r="B7" s="1" t="s">
        <v>19</v>
      </c>
      <c r="C7" s="1" t="s">
        <v>20</v>
      </c>
      <c r="D7" s="2" t="s">
        <v>8</v>
      </c>
      <c r="E7" s="1" t="s">
        <v>21</v>
      </c>
    </row>
    <row r="8" spans="1:5" ht="48" customHeight="1" x14ac:dyDescent="0.3">
      <c r="A8" s="4">
        <v>6</v>
      </c>
      <c r="B8" s="3" t="s">
        <v>22</v>
      </c>
      <c r="C8" s="3" t="s">
        <v>23</v>
      </c>
      <c r="D8" s="4" t="s">
        <v>8</v>
      </c>
      <c r="E8" s="3" t="s">
        <v>24</v>
      </c>
    </row>
    <row r="9" spans="1:5" ht="48" customHeight="1" x14ac:dyDescent="0.3">
      <c r="A9" s="2">
        <v>7</v>
      </c>
      <c r="B9" s="1" t="s">
        <v>25</v>
      </c>
      <c r="C9" s="1" t="s">
        <v>26</v>
      </c>
      <c r="D9" s="2" t="s">
        <v>27</v>
      </c>
      <c r="E9" s="1" t="s">
        <v>28</v>
      </c>
    </row>
    <row r="10" spans="1:5" ht="48" customHeight="1" x14ac:dyDescent="0.3">
      <c r="A10" s="4">
        <v>8</v>
      </c>
      <c r="B10" s="3" t="s">
        <v>29</v>
      </c>
      <c r="C10" s="3" t="s">
        <v>30</v>
      </c>
      <c r="D10" s="4" t="s">
        <v>27</v>
      </c>
      <c r="E10" s="3" t="s">
        <v>31</v>
      </c>
    </row>
    <row r="11" spans="1:5" ht="48" customHeight="1" x14ac:dyDescent="0.3">
      <c r="A11" s="2">
        <v>9</v>
      </c>
      <c r="B11" s="1" t="s">
        <v>32</v>
      </c>
      <c r="C11" s="1" t="s">
        <v>33</v>
      </c>
      <c r="D11" s="2" t="s">
        <v>27</v>
      </c>
      <c r="E11" s="1" t="s">
        <v>34</v>
      </c>
    </row>
    <row r="12" spans="1:5" ht="48" customHeight="1" x14ac:dyDescent="0.3">
      <c r="A12" s="4">
        <v>10</v>
      </c>
      <c r="B12" s="3" t="s">
        <v>35</v>
      </c>
      <c r="C12" s="3" t="s">
        <v>36</v>
      </c>
      <c r="D12" s="4" t="s">
        <v>27</v>
      </c>
      <c r="E12" s="3" t="s">
        <v>37</v>
      </c>
    </row>
    <row r="13" spans="1:5" ht="48" customHeight="1" x14ac:dyDescent="0.3">
      <c r="A13" s="2">
        <v>11</v>
      </c>
      <c r="B13" s="1" t="s">
        <v>38</v>
      </c>
      <c r="C13" s="1" t="s">
        <v>39</v>
      </c>
      <c r="D13" s="2" t="s">
        <v>27</v>
      </c>
      <c r="E13" s="1" t="s">
        <v>40</v>
      </c>
    </row>
    <row r="14" spans="1:5" ht="48" customHeight="1" x14ac:dyDescent="0.3">
      <c r="A14" s="4">
        <v>12</v>
      </c>
      <c r="B14" s="3" t="s">
        <v>41</v>
      </c>
      <c r="C14" s="3" t="s">
        <v>42</v>
      </c>
      <c r="D14" s="4" t="s">
        <v>8</v>
      </c>
      <c r="E14" s="3" t="s">
        <v>43</v>
      </c>
    </row>
    <row r="15" spans="1:5" ht="48" customHeight="1" x14ac:dyDescent="0.3">
      <c r="A15" s="2">
        <v>13</v>
      </c>
      <c r="B15" s="1" t="s">
        <v>44</v>
      </c>
      <c r="C15" s="1" t="s">
        <v>45</v>
      </c>
      <c r="D15" s="2" t="s">
        <v>8</v>
      </c>
      <c r="E15" s="1" t="s">
        <v>46</v>
      </c>
    </row>
    <row r="16" spans="1:5" ht="48" customHeight="1" x14ac:dyDescent="0.3">
      <c r="A16" s="4">
        <v>14</v>
      </c>
      <c r="B16" s="3" t="s">
        <v>47</v>
      </c>
      <c r="C16" s="3" t="s">
        <v>48</v>
      </c>
      <c r="D16" s="4" t="s">
        <v>49</v>
      </c>
      <c r="E16" s="3" t="s">
        <v>50</v>
      </c>
    </row>
    <row r="17" spans="1:5" ht="48" customHeight="1" x14ac:dyDescent="0.3">
      <c r="A17" s="2">
        <v>15</v>
      </c>
      <c r="B17" s="1" t="s">
        <v>51</v>
      </c>
      <c r="C17" s="1" t="s">
        <v>52</v>
      </c>
      <c r="D17" s="2" t="s">
        <v>49</v>
      </c>
      <c r="E17" s="1" t="s">
        <v>53</v>
      </c>
    </row>
  </sheetData>
  <mergeCells count="1">
    <mergeCell ref="A1:E1"/>
  </mergeCells>
  <conditionalFormatting sqref="D3:D17">
    <cfRule type="expression" dxfId="4" priority="1">
      <formula>D3="Passed"</formula>
    </cfRule>
    <cfRule type="expression" dxfId="3" priority="2">
      <formula>D3="Failed"</formula>
    </cfRule>
    <cfRule type="expression" dxfId="2" priority="3">
      <formula>D3="Not verified"</formula>
    </cfRule>
    <cfRule type="expression" dxfId="1" priority="4">
      <formula>D3="Blocked"</formula>
    </cfRule>
    <cfRule type="expression" dxfId="0" priority="5">
      <formula>D3="N/A"</formula>
    </cfRule>
  </conditionalFormatting>
  <dataValidations count="1">
    <dataValidation type="list" errorTitle="Invalid status" error="Choose a status from the dropdown." promptTitle="Checklist status" prompt="Update this after performing the check." sqref="D3:D17" xr:uid="{00000000-0002-0000-0000-000000000000}">
      <formula1>"Passed,Failed,Not verified,Blocked,N/A"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4.4" x14ac:dyDescent="0.3"/>
  <cols>
    <col min="1" max="1" width="25" customWidth="1"/>
    <col min="2" max="2" width="85" customWidth="1"/>
    <col min="3" max="4" width="18" customWidth="1"/>
  </cols>
  <sheetData>
    <row r="1" spans="1:4" ht="30" customHeight="1" x14ac:dyDescent="0.3">
      <c r="A1" s="12" t="s">
        <v>54</v>
      </c>
      <c r="B1" s="9"/>
    </row>
    <row r="3" spans="1:4" x14ac:dyDescent="0.3">
      <c r="A3" s="7" t="s">
        <v>55</v>
      </c>
      <c r="B3" s="2">
        <f>COUNTA('Prod Readiness'!B3:B17)</f>
        <v>15</v>
      </c>
    </row>
    <row r="4" spans="1:4" x14ac:dyDescent="0.3">
      <c r="A4" s="7" t="s">
        <v>8</v>
      </c>
      <c r="B4" s="2">
        <f>COUNTIF('Prod Readiness'!D3:D17,"Passed")</f>
        <v>8</v>
      </c>
    </row>
    <row r="5" spans="1:4" x14ac:dyDescent="0.3">
      <c r="A5" s="7" t="s">
        <v>49</v>
      </c>
      <c r="B5" s="2">
        <f>COUNTIF('Prod Readiness'!D3:D17,"Failed")</f>
        <v>2</v>
      </c>
    </row>
    <row r="6" spans="1:4" x14ac:dyDescent="0.3">
      <c r="A6" s="7" t="s">
        <v>27</v>
      </c>
      <c r="B6" s="2">
        <f>COUNTIF('Prod Readiness'!D3:D17,"Not verified")</f>
        <v>5</v>
      </c>
    </row>
    <row r="7" spans="1:4" x14ac:dyDescent="0.3">
      <c r="A7" s="7" t="s">
        <v>56</v>
      </c>
      <c r="B7" s="2">
        <f>COUNTIF('Prod Readiness'!D3:D17,"Blocked")</f>
        <v>0</v>
      </c>
    </row>
    <row r="8" spans="1:4" x14ac:dyDescent="0.3">
      <c r="A8" s="7" t="s">
        <v>57</v>
      </c>
      <c r="B8" s="2">
        <f>COUNTIF('Prod Readiness'!D3:D17,"N/A")</f>
        <v>0</v>
      </c>
    </row>
    <row r="11" spans="1:4" x14ac:dyDescent="0.3">
      <c r="A11" s="8" t="s">
        <v>58</v>
      </c>
      <c r="B11" s="11" t="s">
        <v>59</v>
      </c>
      <c r="C11" s="9"/>
      <c r="D11" s="9"/>
    </row>
    <row r="12" spans="1:4" ht="72" x14ac:dyDescent="0.3">
      <c r="A12" s="5" t="s">
        <v>60</v>
      </c>
      <c r="B12" s="9"/>
      <c r="C12" s="9"/>
      <c r="D12" s="9"/>
    </row>
  </sheetData>
  <mergeCells count="2">
    <mergeCell ref="B11:D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 Readiness</vt:lpstr>
      <vt:lpstr>Summary</vt:lpstr>
      <vt:lpstr>'Prod Readiness'!Print_Titles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reddy</cp:lastModifiedBy>
  <dcterms:created xsi:type="dcterms:W3CDTF">2026-10-16T10:15:02Z</dcterms:created>
  <dcterms:modified xsi:type="dcterms:W3CDTF">2026-10-26T12:32:33Z</dcterms:modified>
</cp:coreProperties>
</file>